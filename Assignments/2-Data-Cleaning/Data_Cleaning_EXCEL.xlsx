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P Learnings\Data Analytics with AI PW Mar 28 2026\Assignments\2 Data Cleaning\"/>
    </mc:Choice>
  </mc:AlternateContent>
  <xr:revisionPtr revIDLastSave="0" documentId="13_ncr:1_{D421D1B5-1DA9-4DAD-9DE0-ED7EC44C0ABB}" xr6:coauthVersionLast="47" xr6:coauthVersionMax="47" xr10:uidLastSave="{00000000-0000-0000-0000-000000000000}"/>
  <bookViews>
    <workbookView xWindow="-108" yWindow="-108" windowWidth="23256" windowHeight="12456" xr2:uid="{CC134D54-3ADF-4E55-9478-7BCF07A03DF5}"/>
  </bookViews>
  <sheets>
    <sheet name="Sheet1" sheetId="1" r:id="rId1"/>
    <sheet name="Sheet2" sheetId="2" r:id="rId2"/>
  </sheets>
  <definedNames>
    <definedName name="_xlnm._FilterDatabase" localSheetId="0" hidden="1">Sheet1!$A$1:$C$4</definedName>
    <definedName name="_xlnm._FilterDatabase" localSheetId="1" hidden="1">Sheet2!$A$1:$E$1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3" i="1" l="1"/>
  <c r="E9" i="1"/>
  <c r="E8" i="1"/>
  <c r="G7" i="1"/>
  <c r="G6" i="1"/>
  <c r="A26" i="2"/>
  <c r="A24" i="2"/>
  <c r="B21" i="2"/>
  <c r="C19" i="2"/>
  <c r="A18" i="2"/>
  <c r="B16" i="2"/>
  <c r="B15" i="2"/>
  <c r="B14" i="2"/>
  <c r="B13" i="2"/>
  <c r="B12" i="2"/>
  <c r="E1" i="1"/>
  <c r="C7" i="1"/>
  <c r="C8" i="1"/>
  <c r="C9" i="1"/>
  <c r="C10" i="1"/>
  <c r="C11" i="1"/>
</calcChain>
</file>

<file path=xl/sharedStrings.xml><?xml version="1.0" encoding="utf-8"?>
<sst xmlns="http://schemas.openxmlformats.org/spreadsheetml/2006/main" count="71" uniqueCount="61">
  <si>
    <t>Employee</t>
  </si>
  <si>
    <t>Department</t>
  </si>
  <si>
    <t>Salary</t>
  </si>
  <si>
    <t>Sonu</t>
  </si>
  <si>
    <t>IT</t>
  </si>
  <si>
    <t>Pranav</t>
  </si>
  <si>
    <t>HR</t>
  </si>
  <si>
    <t>Rahul</t>
  </si>
  <si>
    <t>Function</t>
  </si>
  <si>
    <t>Purpose</t>
  </si>
  <si>
    <t>Example</t>
  </si>
  <si>
    <t>TRIM</t>
  </si>
  <si>
    <t>Removes extra spaces</t>
  </si>
  <si>
    <t>LEFT</t>
  </si>
  <si>
    <t>Extracts characters from left side</t>
  </si>
  <si>
    <t>RIGHT</t>
  </si>
  <si>
    <t>Extracts characters from right side</t>
  </si>
  <si>
    <t>MID</t>
  </si>
  <si>
    <t>Extracts text from middle</t>
  </si>
  <si>
    <t>CONCAT</t>
  </si>
  <si>
    <t>Combines text values</t>
  </si>
  <si>
    <t>Customer Name</t>
  </si>
  <si>
    <t>Product Name</t>
  </si>
  <si>
    <t>Category</t>
  </si>
  <si>
    <t>Quantity</t>
  </si>
  <si>
    <t>Unit Price ($)</t>
  </si>
  <si>
    <t>Jane Smith</t>
  </si>
  <si>
    <t>Shoes</t>
  </si>
  <si>
    <t>Electronics</t>
  </si>
  <si>
    <t>Isabella Moore</t>
  </si>
  <si>
    <t>Laptop</t>
  </si>
  <si>
    <t>Daniel Davis</t>
  </si>
  <si>
    <t>Sofa</t>
  </si>
  <si>
    <t>Clothing</t>
  </si>
  <si>
    <t>Alex Moore</t>
  </si>
  <si>
    <t>Michael Johnson</t>
  </si>
  <si>
    <t>Table Lamp</t>
  </si>
  <si>
    <t>Home Decor</t>
  </si>
  <si>
    <t>Daniel Johnson</t>
  </si>
  <si>
    <t>Backpack</t>
  </si>
  <si>
    <t>Isabella Davis</t>
  </si>
  <si>
    <t>Headphones</t>
  </si>
  <si>
    <t>Jane Davis</t>
  </si>
  <si>
    <t>Alex Wilson</t>
  </si>
  <si>
    <t>T-shirt</t>
  </si>
  <si>
    <t>ExcelTipsAreGreat</t>
  </si>
  <si>
    <t>DataAnalysis.xlsx</t>
  </si>
  <si>
    <t>Hello World!</t>
  </si>
  <si>
    <t>12345-67890-ABCDE</t>
  </si>
  <si>
    <t>Hello</t>
  </si>
  <si>
    <t>World</t>
  </si>
  <si>
    <t>Apple</t>
  </si>
  <si>
    <t>Banana</t>
  </si>
  <si>
    <t>Cherry</t>
  </si>
  <si>
    <t>A (First Name)</t>
  </si>
  <si>
    <t>B (Last Name)</t>
  </si>
  <si>
    <t>C (Full Name)</t>
  </si>
  <si>
    <t>John</t>
  </si>
  <si>
    <t>Smith</t>
  </si>
  <si>
    <t>Alex</t>
  </si>
  <si>
    <t>Moore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</si>
</sst>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14" fontId="0" fillId="4" borderId="0" xfId="0" applyNumberFormat="1" applyFill="1"/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2" xfId="0" applyBorder="1"/>
    <xf numFmtId="0" fontId="1" fillId="6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8DC9F-F720-44A2-89B8-8C6AF9FC7D88}">
  <dimension ref="A1:G13"/>
  <sheetViews>
    <sheetView tabSelected="1" workbookViewId="0">
      <selection activeCell="E15" sqref="E15"/>
    </sheetView>
  </sheetViews>
  <sheetFormatPr defaultRowHeight="14.4"/>
  <cols>
    <col min="1" max="3" width="13.88671875" customWidth="1"/>
    <col min="5" max="5" width="18.88671875" bestFit="1" customWidth="1"/>
  </cols>
  <sheetData>
    <row r="1" spans="1:7">
      <c r="A1" s="1" t="s">
        <v>0</v>
      </c>
      <c r="B1" s="1" t="s">
        <v>1</v>
      </c>
      <c r="C1" s="1" t="s">
        <v>2</v>
      </c>
      <c r="E1" s="5">
        <f ca="1">TODAY()</f>
        <v>46168</v>
      </c>
    </row>
    <row r="2" spans="1:7">
      <c r="A2" s="2" t="s">
        <v>5</v>
      </c>
      <c r="B2" s="2" t="s">
        <v>6</v>
      </c>
      <c r="C2" s="2">
        <v>5000</v>
      </c>
    </row>
    <row r="3" spans="1:7">
      <c r="A3" s="2" t="s">
        <v>3</v>
      </c>
      <c r="B3" s="2" t="s">
        <v>4</v>
      </c>
      <c r="C3" s="2">
        <v>4000</v>
      </c>
    </row>
    <row r="4" spans="1:7">
      <c r="A4" s="2" t="s">
        <v>7</v>
      </c>
      <c r="B4" s="2" t="s">
        <v>4</v>
      </c>
      <c r="C4" s="2">
        <v>2500</v>
      </c>
    </row>
    <row r="5" spans="1:7" ht="28.8">
      <c r="E5" s="13" t="s">
        <v>54</v>
      </c>
      <c r="F5" s="13" t="s">
        <v>55</v>
      </c>
      <c r="G5" s="13" t="s">
        <v>56</v>
      </c>
    </row>
    <row r="6" spans="1:7" ht="28.8">
      <c r="A6" s="1" t="s">
        <v>8</v>
      </c>
      <c r="B6" s="1" t="s">
        <v>9</v>
      </c>
      <c r="C6" s="1" t="s">
        <v>10</v>
      </c>
      <c r="E6" s="14" t="s">
        <v>57</v>
      </c>
      <c r="F6" s="14" t="s">
        <v>58</v>
      </c>
      <c r="G6" s="14" t="str">
        <f>E6&amp;" "&amp;F6</f>
        <v>John Smith</v>
      </c>
    </row>
    <row r="7" spans="1:7" ht="28.8">
      <c r="A7" s="2" t="s">
        <v>11</v>
      </c>
      <c r="B7" s="2" t="s">
        <v>12</v>
      </c>
      <c r="C7" s="3" t="str">
        <f>TRIM(A1)</f>
        <v>Employee</v>
      </c>
      <c r="E7" s="14" t="s">
        <v>59</v>
      </c>
      <c r="F7" s="14" t="s">
        <v>60</v>
      </c>
      <c r="G7" s="14" t="str">
        <f>E7&amp;" "&amp;F7</f>
        <v>Alex Moore</v>
      </c>
    </row>
    <row r="8" spans="1:7" ht="43.2">
      <c r="A8" s="2" t="s">
        <v>13</v>
      </c>
      <c r="B8" s="2" t="s">
        <v>14</v>
      </c>
      <c r="C8" s="3" t="str">
        <f>LEFT(A1,5)</f>
        <v>Emplo</v>
      </c>
      <c r="E8" s="4">
        <f ca="1">TODAY()</f>
        <v>46168</v>
      </c>
    </row>
    <row r="9" spans="1:7" ht="43.2">
      <c r="A9" s="2" t="s">
        <v>15</v>
      </c>
      <c r="B9" s="2" t="s">
        <v>16</v>
      </c>
      <c r="C9" s="3" t="str">
        <f>RIGHT(A1,4)</f>
        <v>oyee</v>
      </c>
      <c r="E9" s="15">
        <f ca="1">NOW()</f>
        <v>46168.708278472222</v>
      </c>
    </row>
    <row r="10" spans="1:7" ht="28.8">
      <c r="A10" s="2" t="s">
        <v>17</v>
      </c>
      <c r="B10" s="2" t="s">
        <v>18</v>
      </c>
      <c r="C10" s="3" t="str">
        <f>MID(A1,3,4)</f>
        <v>ploy</v>
      </c>
    </row>
    <row r="11" spans="1:7" ht="28.8">
      <c r="A11" s="2" t="s">
        <v>19</v>
      </c>
      <c r="B11" s="2" t="s">
        <v>20</v>
      </c>
      <c r="C11" s="3" t="str">
        <f>_xlfn.CONCAT(A1,B1)</f>
        <v>EmployeeDepartment</v>
      </c>
      <c r="E11" s="4">
        <v>45787</v>
      </c>
      <c r="F11" s="4"/>
    </row>
    <row r="13" spans="1:7">
      <c r="E13" t="str">
        <f ca="1">TEXT(NOW(),"MM/DD/YYYY HH:MM AM/PM")</f>
        <v>05/26/2026 04:59 PM</v>
      </c>
    </row>
  </sheetData>
  <autoFilter ref="A1:C4" xr:uid="{5668DC9F-F720-44A2-89B8-8C6AF9FC7D88}">
    <sortState xmlns:xlrd2="http://schemas.microsoft.com/office/spreadsheetml/2017/richdata2" ref="A2:C4">
      <sortCondition ref="B2:B4"/>
      <sortCondition descending="1" ref="C2:C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E8542-EAD1-4D4E-8320-480DFC62851D}">
  <dimension ref="A1:E26"/>
  <sheetViews>
    <sheetView topLeftCell="A10" workbookViewId="0">
      <selection activeCell="A28" sqref="A28"/>
    </sheetView>
  </sheetViews>
  <sheetFormatPr defaultRowHeight="14.4"/>
  <cols>
    <col min="1" max="1" width="59.33203125" style="7" bestFit="1" customWidth="1"/>
    <col min="2" max="2" width="19" style="7" bestFit="1" customWidth="1"/>
    <col min="3" max="3" width="13" style="7" bestFit="1" customWidth="1"/>
    <col min="4" max="4" width="12.77734375" style="7" bestFit="1" customWidth="1"/>
    <col min="5" max="5" width="16.33203125" style="7" bestFit="1" customWidth="1"/>
    <col min="6" max="16384" width="8.88671875" style="7"/>
  </cols>
  <sheetData>
    <row r="1" spans="1: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</row>
    <row r="2" spans="1:5">
      <c r="A2" s="8" t="s">
        <v>26</v>
      </c>
      <c r="B2" s="8" t="s">
        <v>27</v>
      </c>
      <c r="C2" s="8" t="s">
        <v>28</v>
      </c>
      <c r="D2" s="8"/>
      <c r="E2" s="8">
        <v>81</v>
      </c>
    </row>
    <row r="3" spans="1:5">
      <c r="A3" s="8" t="s">
        <v>29</v>
      </c>
      <c r="B3" s="8" t="s">
        <v>30</v>
      </c>
      <c r="C3" s="8" t="s">
        <v>28</v>
      </c>
      <c r="D3" s="8"/>
      <c r="E3" s="8">
        <v>121</v>
      </c>
    </row>
    <row r="4" spans="1:5">
      <c r="A4" s="8" t="s">
        <v>31</v>
      </c>
      <c r="B4" s="8" t="s">
        <v>32</v>
      </c>
      <c r="C4" s="8" t="s">
        <v>33</v>
      </c>
      <c r="D4" s="8"/>
      <c r="E4" s="8">
        <v>239</v>
      </c>
    </row>
    <row r="5" spans="1:5">
      <c r="A5" s="8" t="s">
        <v>34</v>
      </c>
      <c r="B5" s="8" t="s">
        <v>27</v>
      </c>
      <c r="C5" s="8" t="s">
        <v>28</v>
      </c>
      <c r="D5" s="8"/>
      <c r="E5" s="8">
        <v>500</v>
      </c>
    </row>
    <row r="6" spans="1:5">
      <c r="A6" s="8" t="s">
        <v>35</v>
      </c>
      <c r="B6" s="8" t="s">
        <v>36</v>
      </c>
      <c r="C6" s="8" t="s">
        <v>37</v>
      </c>
      <c r="D6" s="8"/>
      <c r="E6" s="8">
        <v>423</v>
      </c>
    </row>
    <row r="7" spans="1:5">
      <c r="A7" s="8" t="s">
        <v>38</v>
      </c>
      <c r="B7" s="8" t="s">
        <v>39</v>
      </c>
      <c r="C7" s="8" t="s">
        <v>28</v>
      </c>
      <c r="D7" s="8"/>
      <c r="E7" s="8">
        <v>160</v>
      </c>
    </row>
    <row r="8" spans="1:5">
      <c r="A8" s="8" t="s">
        <v>40</v>
      </c>
      <c r="B8" s="8" t="s">
        <v>41</v>
      </c>
      <c r="C8" s="8" t="s">
        <v>28</v>
      </c>
      <c r="D8" s="8"/>
      <c r="E8" s="8">
        <v>348</v>
      </c>
    </row>
    <row r="9" spans="1:5">
      <c r="A9" s="8" t="s">
        <v>42</v>
      </c>
      <c r="B9" s="8" t="s">
        <v>41</v>
      </c>
      <c r="C9" s="8" t="s">
        <v>28</v>
      </c>
      <c r="D9" s="8"/>
      <c r="E9" s="8">
        <v>152</v>
      </c>
    </row>
    <row r="10" spans="1:5">
      <c r="A10" s="8" t="s">
        <v>43</v>
      </c>
      <c r="B10" s="8" t="s">
        <v>44</v>
      </c>
      <c r="C10" s="8" t="s">
        <v>37</v>
      </c>
      <c r="D10" s="8"/>
      <c r="E10" s="8">
        <v>369</v>
      </c>
    </row>
    <row r="12" spans="1:5">
      <c r="A12" s="9" t="s">
        <v>45</v>
      </c>
      <c r="B12" s="9" t="str">
        <f>LEFT(A12,5)</f>
        <v>Excel</v>
      </c>
    </row>
    <row r="13" spans="1:5">
      <c r="A13" s="9" t="s">
        <v>46</v>
      </c>
      <c r="B13" s="9" t="str">
        <f>RIGHT(A13,4)</f>
        <v>xlsx</v>
      </c>
    </row>
    <row r="14" spans="1:5">
      <c r="A14" s="9" t="s">
        <v>45</v>
      </c>
      <c r="B14" s="9" t="str">
        <f>MID("ExcelTipsAreGreat",6,4)</f>
        <v>Tips</v>
      </c>
    </row>
    <row r="15" spans="1:5">
      <c r="A15" s="10" t="s">
        <v>47</v>
      </c>
      <c r="B15" s="9">
        <f>LEN(A15)</f>
        <v>12</v>
      </c>
    </row>
    <row r="16" spans="1:5">
      <c r="A16" s="11" t="s">
        <v>48</v>
      </c>
      <c r="B16" s="9" t="str">
        <f>MID("12345-67890-ABCDE",7,6)</f>
        <v>67890-</v>
      </c>
    </row>
    <row r="18" spans="1:3">
      <c r="A18" s="12" t="str">
        <f>_xlfn.CONCAT("Hello"," ","World")</f>
        <v>Hello World</v>
      </c>
    </row>
    <row r="19" spans="1:3">
      <c r="A19" s="9" t="s">
        <v>49</v>
      </c>
      <c r="B19" s="9" t="s">
        <v>50</v>
      </c>
      <c r="C19" s="9" t="str">
        <f>_xlfn.CONCAT(A19," ",B19)</f>
        <v>Hello World</v>
      </c>
    </row>
    <row r="20" spans="1:3">
      <c r="A20" s="9" t="s">
        <v>51</v>
      </c>
    </row>
    <row r="21" spans="1:3">
      <c r="A21" s="9" t="s">
        <v>52</v>
      </c>
      <c r="B21" s="9" t="str">
        <f>_xlfn.TEXTJOIN(", ",TRUE,A20:A22)</f>
        <v>Apple, Banana, Cherry</v>
      </c>
    </row>
    <row r="22" spans="1:3">
      <c r="A22" s="9" t="s">
        <v>53</v>
      </c>
    </row>
    <row r="24" spans="1:3">
      <c r="A24" s="7" t="str">
        <f>"2025"&amp;": "&amp;"Excel Functions"</f>
        <v>2025: Excel Functions</v>
      </c>
    </row>
    <row r="26" spans="1:3">
      <c r="A26" s="7" t="str">
        <f>_xlfn.TEXTJOIN(", ",TRUE,A1:A5)</f>
        <v>Customer Name, Jane Smith, Isabella Moore, Daniel Davis, Alex Moore</v>
      </c>
    </row>
  </sheetData>
  <autoFilter ref="A1:E1" xr:uid="{B59E8542-EAD1-4D4E-8320-480DFC62851D}"/>
  <dataValidations count="1">
    <dataValidation type="whole" allowBlank="1" showInputMessage="1" showErrorMessage="1" errorTitle="Invalid Input" error="Invalid input! The quantity must be a whole number between 1 and 10." promptTitle="Quantity Input" prompt="Please enter a whole number between 1 and 10." sqref="D2:D10" xr:uid="{CED08BA8-BE6D-4C07-96B7-1CF9923D45E2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Ponnoju</dc:creator>
  <cp:lastModifiedBy>Rakesh Ponnoju</cp:lastModifiedBy>
  <dcterms:created xsi:type="dcterms:W3CDTF">2026-05-26T10:43:57Z</dcterms:created>
  <dcterms:modified xsi:type="dcterms:W3CDTF">2026-05-26T11:31:01Z</dcterms:modified>
</cp:coreProperties>
</file>