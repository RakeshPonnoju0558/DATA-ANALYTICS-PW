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P Learnings\Data Analytics with AI PW Mar 28 2026\Assignments\1 Excel Basics\"/>
    </mc:Choice>
  </mc:AlternateContent>
  <xr:revisionPtr revIDLastSave="0" documentId="13_ncr:1_{6A8CDE65-647C-4B19-B81E-AA034B1BF721}" xr6:coauthVersionLast="47" xr6:coauthVersionMax="47" xr10:uidLastSave="{00000000-0000-0000-0000-000000000000}"/>
  <bookViews>
    <workbookView xWindow="-108" yWindow="-108" windowWidth="23256" windowHeight="12456" activeTab="1" xr2:uid="{A912A8E3-58D9-4073-BBB8-D173B7BAA20C}"/>
  </bookViews>
  <sheets>
    <sheet name="Sheet1" sheetId="1" r:id="rId1"/>
    <sheet name="Sheet2" sheetId="2" r:id="rId2"/>
  </sheets>
  <definedNames>
    <definedName name="_xlnm._FilterDatabase" localSheetId="1" hidden="1">Sheet2!$A$1:$H$52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2" i="2"/>
  <c r="B52" i="2"/>
  <c r="D19" i="1"/>
  <c r="B14" i="1"/>
  <c r="E4" i="1"/>
  <c r="E5" i="1"/>
  <c r="E3" i="1"/>
  <c r="D4" i="1"/>
  <c r="D5" i="1"/>
  <c r="D3" i="1"/>
  <c r="C3" i="1"/>
  <c r="K3" i="2" l="1"/>
  <c r="K5" i="2"/>
  <c r="K2" i="2"/>
  <c r="K4" i="2"/>
  <c r="I5" i="2"/>
</calcChain>
</file>

<file path=xl/sharedStrings.xml><?xml version="1.0" encoding="utf-8"?>
<sst xmlns="http://schemas.openxmlformats.org/spreadsheetml/2006/main" count="191" uniqueCount="88">
  <si>
    <t>Vehicle</t>
  </si>
  <si>
    <t>Price</t>
  </si>
  <si>
    <t>Car</t>
  </si>
  <si>
    <t>Bicycle</t>
  </si>
  <si>
    <t>Auto-Rickshaw</t>
  </si>
  <si>
    <t>Relative</t>
  </si>
  <si>
    <t>Absolute</t>
  </si>
  <si>
    <t>Mixed</t>
  </si>
  <si>
    <t>Explain the difference between Relative, Absolute and Mixed Cell Referencing.</t>
  </si>
  <si>
    <t>Write a formula to calculate the total sales of Car and Bicycle only.</t>
  </si>
  <si>
    <t>CAR &amp; BICYCLE</t>
  </si>
  <si>
    <t>3. Using the data below, write a formula to calculate the average sales of items priced above 100 but less than 300</t>
  </si>
  <si>
    <t>A</t>
  </si>
  <si>
    <t>B</t>
  </si>
  <si>
    <t>C</t>
  </si>
  <si>
    <t>Item</t>
  </si>
  <si>
    <t>Sales</t>
  </si>
  <si>
    <t>Item A</t>
  </si>
  <si>
    <t>Item B</t>
  </si>
  <si>
    <t>Item C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</si>
  <si>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</si>
  <si>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</si>
  <si>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</si>
  <si>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</si>
  <si>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</si>
  <si>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</si>
  <si>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</si>
  <si>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</si>
  <si>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</si>
  <si>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</si>
  <si>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</si>
  <si>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</si>
  <si>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</si>
  <si>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</si>
  <si>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</si>
  <si>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</si>
  <si>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</si>
  <si>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</si>
  <si>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</si>
  <si>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</si>
  <si>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</si>
  <si>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</si>
  <si>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</si>
  <si>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</si>
  <si>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</si>
  <si>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</si>
  <si>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</si>
  <si>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</si>
  <si>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</si>
  <si>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</si>
  <si>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</si>
  <si>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</si>
  <si>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</si>
  <si>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</si>
  <si>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</si>
  <si>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</si>
  <si>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</si>
  <si>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</si>
  <si>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</si>
  <si>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</si>
  <si>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</si>
  <si>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</si>
  <si>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</si>
  <si>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</si>
  <si>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</si>
  <si>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</si>
  <si>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</si>
  <si>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</si>
  <si>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</si>
  <si>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</si>
  <si>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</si>
  <si>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</si>
  <si>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</si>
  <si>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</si>
  <si>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</si>
  <si>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</si>
  <si>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</si>
  <si>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</si>
  <si>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</si>
  <si>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</si>
  <si>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</si>
  <si>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</si>
  <si>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</si>
  <si>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</si>
  <si>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</si>
  <si>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</si>
  <si>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Total sales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</si>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</sst>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/>
    <xf numFmtId="0" fontId="1" fillId="0" borderId="1" xfId="0" applyFont="1" applyBorder="1" applyAlignment="1">
      <alignment horizontal="center" wrapText="1"/>
    </xf>
    <xf numFmtId="0" fontId="0" fillId="4" borderId="0" xfId="0" applyFill="1"/>
    <xf numFmtId="0" fontId="1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5" borderId="0" xfId="0" applyFill="1"/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Sheet2!$K$1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Sheet2!$J$2:$J$6</c:f>
              <c:strCache>
                <c:ptCount val="5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Pencil</c:v>
                </c:pt>
                <c:pt idx="4">
                  <c:v>Eraser</c:v>
                </c:pt>
              </c:strCache>
            </c:strRef>
          </c:cat>
          <c:val>
            <c:numRef>
              <c:f>Sheet2!$K$2:$K$6</c:f>
              <c:numCache>
                <c:formatCode>General</c:formatCode>
                <c:ptCount val="5"/>
                <c:pt idx="0">
                  <c:v>7550</c:v>
                </c:pt>
                <c:pt idx="1">
                  <c:v>2180</c:v>
                </c:pt>
                <c:pt idx="2">
                  <c:v>3650</c:v>
                </c:pt>
                <c:pt idx="3">
                  <c:v>1235</c:v>
                </c:pt>
                <c:pt idx="4">
                  <c:v>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F-4D1B-94A1-95B4423E4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1537408"/>
        <c:axId val="1531540288"/>
        <c:axId val="0"/>
      </c:bar3DChart>
      <c:catAx>
        <c:axId val="153153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540288"/>
        <c:crosses val="autoZero"/>
        <c:auto val="1"/>
        <c:lblAlgn val="ctr"/>
        <c:lblOffset val="100"/>
        <c:noMultiLvlLbl val="0"/>
      </c:catAx>
      <c:valAx>
        <c:axId val="153154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53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Daily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Sheet2!$G$2:$G$51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F0-4FCF-9428-A9BE45948EEF}"/>
            </c:ext>
          </c:extLst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OrderDate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Sheet2!$H$2:$H$51</c:f>
              <c:numCache>
                <c:formatCode>m/d/yyyy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F0-4FCF-9428-A9BE45948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9223696"/>
        <c:axId val="1539224176"/>
      </c:lineChart>
      <c:catAx>
        <c:axId val="1539223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224176"/>
        <c:crosses val="autoZero"/>
        <c:auto val="1"/>
        <c:lblAlgn val="ctr"/>
        <c:lblOffset val="100"/>
        <c:noMultiLvlLbl val="0"/>
      </c:catAx>
      <c:valAx>
        <c:axId val="153922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22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68580</xdr:colOff>
      <xdr:row>6</xdr:row>
      <xdr:rowOff>57150</xdr:rowOff>
    </xdr:from>
    <xdr:to>
      <xdr:col>14</xdr:col>
      <xdr:colOff>190500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1567CC-7300-CAC9-2363-B88FB3AD1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</xdr:colOff>
      <xdr:row>22</xdr:row>
      <xdr:rowOff>21772</xdr:rowOff>
    </xdr:from>
    <xdr:to>
      <xdr:col>14</xdr:col>
      <xdr:colOff>195942</xdr:colOff>
      <xdr:row>36</xdr:row>
      <xdr:rowOff>174172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BB32EE-81AC-6094-C576-A13707663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1FA5-EC08-4F69-A0F0-4909A371674F}">
  <dimension ref="A1:E21"/>
  <sheetViews>
    <sheetView topLeftCell="A7" workbookViewId="0">
      <selection activeCell="D19" sqref="D19"/>
    </sheetView>
  </sheetViews>
  <sheetFormatPr defaultRowHeight="14.4" x14ac:dyDescent="0.3"/>
  <cols>
    <col min="1" max="1" width="13.6640625" bestFit="1" customWidth="1"/>
    <col min="2" max="2" width="15.109375" customWidth="1"/>
    <col min="3" max="3" width="7.6640625" bestFit="1" customWidth="1"/>
    <col min="4" max="4" width="12.88671875" customWidth="1"/>
    <col min="5" max="5" width="8.33203125" bestFit="1" customWidth="1"/>
    <col min="6" max="6" width="8.6640625" bestFit="1" customWidth="1"/>
    <col min="7" max="7" width="10.33203125" bestFit="1" customWidth="1"/>
  </cols>
  <sheetData>
    <row r="1" spans="1:5" ht="45" customHeight="1" x14ac:dyDescent="0.3">
      <c r="A1" s="6" t="s">
        <v>8</v>
      </c>
      <c r="B1" s="6"/>
      <c r="C1" s="6"/>
      <c r="D1" s="6"/>
      <c r="E1" s="6"/>
    </row>
    <row r="2" spans="1:5" x14ac:dyDescent="0.3">
      <c r="A2" s="4" t="s">
        <v>0</v>
      </c>
      <c r="B2" s="4" t="s">
        <v>1</v>
      </c>
      <c r="C2" s="5" t="s">
        <v>5</v>
      </c>
      <c r="D2" s="5" t="s">
        <v>6</v>
      </c>
      <c r="E2" s="5" t="s">
        <v>7</v>
      </c>
    </row>
    <row r="3" spans="1:5" x14ac:dyDescent="0.3">
      <c r="A3" s="2" t="s">
        <v>2</v>
      </c>
      <c r="B3" s="2">
        <v>500000</v>
      </c>
      <c r="C3" s="3">
        <f>B3+B4</f>
        <v>510500</v>
      </c>
      <c r="D3" s="3">
        <f>$B$3+$B$4</f>
        <v>510500</v>
      </c>
      <c r="E3" s="3">
        <f>$B3</f>
        <v>500000</v>
      </c>
    </row>
    <row r="4" spans="1:5" x14ac:dyDescent="0.3">
      <c r="A4" s="2" t="s">
        <v>3</v>
      </c>
      <c r="B4" s="2">
        <v>10500</v>
      </c>
      <c r="C4" s="3"/>
      <c r="D4" s="3">
        <f>$B$3+$B$4</f>
        <v>510500</v>
      </c>
      <c r="E4" s="3">
        <f>$B4</f>
        <v>10500</v>
      </c>
    </row>
    <row r="5" spans="1:5" x14ac:dyDescent="0.3">
      <c r="A5" s="2" t="s">
        <v>4</v>
      </c>
      <c r="B5" s="2">
        <v>25000</v>
      </c>
      <c r="C5" s="3"/>
      <c r="D5" s="3">
        <f>$B$3+$B$4</f>
        <v>510500</v>
      </c>
      <c r="E5" s="3">
        <f>$B5</f>
        <v>25000</v>
      </c>
    </row>
    <row r="6" spans="1:5" ht="29.4" customHeight="1" x14ac:dyDescent="0.3">
      <c r="A6" s="6" t="s">
        <v>9</v>
      </c>
      <c r="B6" s="6"/>
      <c r="C6" s="6"/>
      <c r="D6" s="6"/>
      <c r="E6" s="6"/>
    </row>
    <row r="10" spans="1:5" x14ac:dyDescent="0.3">
      <c r="A10" s="4" t="s">
        <v>0</v>
      </c>
      <c r="B10" s="4" t="s">
        <v>1</v>
      </c>
    </row>
    <row r="11" spans="1:5" x14ac:dyDescent="0.3">
      <c r="A11" s="2" t="s">
        <v>2</v>
      </c>
      <c r="B11" s="2">
        <v>500000</v>
      </c>
    </row>
    <row r="12" spans="1:5" ht="14.4" customHeight="1" x14ac:dyDescent="0.3">
      <c r="A12" s="2" t="s">
        <v>3</v>
      </c>
      <c r="B12" s="2">
        <v>10500</v>
      </c>
    </row>
    <row r="13" spans="1:5" x14ac:dyDescent="0.3">
      <c r="A13" s="2" t="s">
        <v>4</v>
      </c>
      <c r="B13" s="2">
        <v>25000</v>
      </c>
    </row>
    <row r="14" spans="1:5" x14ac:dyDescent="0.3">
      <c r="A14" s="8" t="s">
        <v>10</v>
      </c>
      <c r="B14" s="5">
        <f>SUM(B11:B12)</f>
        <v>510500</v>
      </c>
    </row>
    <row r="15" spans="1:5" ht="71.400000000000006" customHeight="1" x14ac:dyDescent="0.3">
      <c r="A15" s="11" t="s">
        <v>11</v>
      </c>
      <c r="B15" s="11"/>
      <c r="C15" s="11"/>
      <c r="D15" s="10"/>
      <c r="E15" s="10"/>
    </row>
    <row r="16" spans="1:5" x14ac:dyDescent="0.3">
      <c r="A16" s="10"/>
      <c r="B16" s="10"/>
      <c r="C16" s="10"/>
      <c r="D16" s="10"/>
      <c r="E16" s="10"/>
    </row>
    <row r="17" spans="1:4" x14ac:dyDescent="0.3">
      <c r="A17" s="1" t="s">
        <v>12</v>
      </c>
      <c r="B17" s="1" t="s">
        <v>13</v>
      </c>
      <c r="C17" s="1" t="s">
        <v>14</v>
      </c>
    </row>
    <row r="18" spans="1:4" x14ac:dyDescent="0.3">
      <c r="A18" s="9" t="s">
        <v>15</v>
      </c>
      <c r="B18" s="9" t="s">
        <v>1</v>
      </c>
      <c r="C18" s="9" t="s">
        <v>16</v>
      </c>
    </row>
    <row r="19" spans="1:4" x14ac:dyDescent="0.3">
      <c r="A19" s="9" t="s">
        <v>17</v>
      </c>
      <c r="B19" s="9">
        <v>90</v>
      </c>
      <c r="C19" s="9">
        <v>1000</v>
      </c>
      <c r="D19" s="7">
        <f>AVERAGEIFS(C19:C21,B19:B21,"&gt;100",B19:B21,"&lt;300")</f>
        <v>1350</v>
      </c>
    </row>
    <row r="20" spans="1:4" x14ac:dyDescent="0.3">
      <c r="A20" s="9" t="s">
        <v>18</v>
      </c>
      <c r="B20" s="9">
        <v>150</v>
      </c>
      <c r="C20" s="9">
        <v>1200</v>
      </c>
    </row>
    <row r="21" spans="1:4" x14ac:dyDescent="0.3">
      <c r="A21" s="9" t="s">
        <v>19</v>
      </c>
      <c r="B21" s="9">
        <v>250</v>
      </c>
      <c r="C21" s="9">
        <v>1500</v>
      </c>
    </row>
  </sheetData>
  <mergeCells count="3">
    <mergeCell ref="A1:E1"/>
    <mergeCell ref="A6:E6"/>
    <mergeCell ref="A15:C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57A0-062D-4075-A25E-46E394FB08CD}">
  <dimension ref="A1:K52"/>
  <sheetViews>
    <sheetView tabSelected="1" topLeftCell="A16" zoomScaleNormal="100" workbookViewId="0">
      <selection activeCell="Q26" sqref="Q26"/>
    </sheetView>
  </sheetViews>
  <sheetFormatPr defaultRowHeight="14.4" x14ac:dyDescent="0.3"/>
  <cols>
    <col min="1" max="1" width="7.5546875" bestFit="1" customWidth="1"/>
    <col min="2" max="2" width="15.109375" customWidth="1"/>
    <col min="3" max="3" width="6.77734375" bestFit="1" customWidth="1"/>
    <col min="4" max="4" width="9.21875" bestFit="1" customWidth="1"/>
    <col min="5" max="5" width="8.33203125" bestFit="1" customWidth="1"/>
    <col min="6" max="6" width="8.6640625" bestFit="1" customWidth="1"/>
    <col min="7" max="7" width="8.6640625" customWidth="1"/>
    <col min="8" max="8" width="14.6640625" customWidth="1"/>
    <col min="9" max="9" width="12.5546875" customWidth="1"/>
    <col min="10" max="10" width="12" customWidth="1"/>
    <col min="11" max="11" width="13.6640625" customWidth="1"/>
  </cols>
  <sheetData>
    <row r="1" spans="1:11" ht="28.8" x14ac:dyDescent="0.3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5" t="s">
        <v>86</v>
      </c>
      <c r="H1" s="12" t="s">
        <v>26</v>
      </c>
      <c r="J1" s="17" t="s">
        <v>23</v>
      </c>
      <c r="K1" s="17" t="s">
        <v>87</v>
      </c>
    </row>
    <row r="2" spans="1:11" x14ac:dyDescent="0.3">
      <c r="A2" s="13">
        <v>1001</v>
      </c>
      <c r="B2" s="13" t="s">
        <v>27</v>
      </c>
      <c r="C2" s="13" t="s">
        <v>28</v>
      </c>
      <c r="D2" s="13" t="s">
        <v>29</v>
      </c>
      <c r="E2" s="13">
        <v>10</v>
      </c>
      <c r="F2" s="13">
        <v>50</v>
      </c>
      <c r="G2" s="13">
        <f>E2*F2</f>
        <v>500</v>
      </c>
      <c r="H2" s="14">
        <v>45296</v>
      </c>
      <c r="J2" s="18" t="s">
        <v>29</v>
      </c>
      <c r="K2" s="18">
        <f>SUMIF(D2:D51,"Notebook",G2:G51)</f>
        <v>7550</v>
      </c>
    </row>
    <row r="3" spans="1:11" x14ac:dyDescent="0.3">
      <c r="A3" s="13">
        <v>1002</v>
      </c>
      <c r="B3" s="13" t="s">
        <v>30</v>
      </c>
      <c r="C3" s="13" t="s">
        <v>31</v>
      </c>
      <c r="D3" s="13" t="s">
        <v>32</v>
      </c>
      <c r="E3" s="13">
        <v>20</v>
      </c>
      <c r="F3" s="13">
        <v>10</v>
      </c>
      <c r="G3" s="13">
        <f t="shared" ref="G3:G51" si="0">E3*F3</f>
        <v>200</v>
      </c>
      <c r="H3" s="14">
        <v>45297</v>
      </c>
      <c r="J3" s="18" t="s">
        <v>32</v>
      </c>
      <c r="K3" s="18">
        <f>SUMIF(D2:D51,"Pen",G2:G51)</f>
        <v>2180</v>
      </c>
    </row>
    <row r="4" spans="1:11" x14ac:dyDescent="0.3">
      <c r="A4" s="13">
        <v>1003</v>
      </c>
      <c r="B4" s="13" t="s">
        <v>33</v>
      </c>
      <c r="C4" s="13" t="s">
        <v>34</v>
      </c>
      <c r="D4" s="13" t="s">
        <v>35</v>
      </c>
      <c r="E4" s="13">
        <v>15</v>
      </c>
      <c r="F4" s="13">
        <v>25</v>
      </c>
      <c r="G4" s="13">
        <f t="shared" si="0"/>
        <v>375</v>
      </c>
      <c r="H4" s="14">
        <v>45298</v>
      </c>
      <c r="J4" s="18" t="s">
        <v>35</v>
      </c>
      <c r="K4" s="18">
        <f>SUMIF(D2:D51,"Marker",G2:G51)</f>
        <v>3650</v>
      </c>
    </row>
    <row r="5" spans="1:11" x14ac:dyDescent="0.3">
      <c r="A5" s="13">
        <v>1004</v>
      </c>
      <c r="B5" s="13" t="s">
        <v>36</v>
      </c>
      <c r="C5" s="13" t="s">
        <v>37</v>
      </c>
      <c r="D5" s="13" t="s">
        <v>29</v>
      </c>
      <c r="E5" s="13">
        <v>5</v>
      </c>
      <c r="F5" s="13">
        <v>50</v>
      </c>
      <c r="G5" s="13">
        <f t="shared" si="0"/>
        <v>250</v>
      </c>
      <c r="H5" s="14">
        <v>45299</v>
      </c>
      <c r="I5" s="16">
        <f>SUMIFS(G2:G51,D2:D51,"Notebook",C2:C51,"North")</f>
        <v>2900</v>
      </c>
      <c r="J5" s="13" t="s">
        <v>39</v>
      </c>
      <c r="K5" s="19">
        <f>SUMIF(D2:D51,"Pencil",G2:G51)</f>
        <v>1235</v>
      </c>
    </row>
    <row r="6" spans="1:11" x14ac:dyDescent="0.3">
      <c r="A6" s="13">
        <v>1005</v>
      </c>
      <c r="B6" s="13" t="s">
        <v>38</v>
      </c>
      <c r="C6" s="13" t="s">
        <v>28</v>
      </c>
      <c r="D6" s="13" t="s">
        <v>39</v>
      </c>
      <c r="E6" s="13">
        <v>30</v>
      </c>
      <c r="F6" s="13">
        <v>5</v>
      </c>
      <c r="G6" s="13">
        <f t="shared" si="0"/>
        <v>150</v>
      </c>
      <c r="H6" s="14">
        <v>45301</v>
      </c>
      <c r="J6" s="13" t="s">
        <v>42</v>
      </c>
      <c r="K6" s="19">
        <f>SUMIF(D2:D51,"Eraser",G2:G51)</f>
        <v>1928</v>
      </c>
    </row>
    <row r="7" spans="1:11" x14ac:dyDescent="0.3">
      <c r="A7" s="13">
        <v>1006</v>
      </c>
      <c r="B7" s="13" t="s">
        <v>40</v>
      </c>
      <c r="C7" s="13" t="s">
        <v>31</v>
      </c>
      <c r="D7" s="13" t="s">
        <v>29</v>
      </c>
      <c r="E7" s="13">
        <v>12</v>
      </c>
      <c r="F7" s="13">
        <v>50</v>
      </c>
      <c r="G7" s="13">
        <f t="shared" si="0"/>
        <v>600</v>
      </c>
      <c r="H7" s="14">
        <v>45302</v>
      </c>
    </row>
    <row r="8" spans="1:11" x14ac:dyDescent="0.3">
      <c r="A8" s="13">
        <v>1007</v>
      </c>
      <c r="B8" s="13" t="s">
        <v>41</v>
      </c>
      <c r="C8" s="13" t="s">
        <v>34</v>
      </c>
      <c r="D8" s="13" t="s">
        <v>42</v>
      </c>
      <c r="E8" s="13">
        <v>25</v>
      </c>
      <c r="F8" s="13">
        <v>8</v>
      </c>
      <c r="G8" s="13">
        <f t="shared" si="0"/>
        <v>200</v>
      </c>
      <c r="H8" s="14">
        <v>45304</v>
      </c>
    </row>
    <row r="9" spans="1:11" x14ac:dyDescent="0.3">
      <c r="A9" s="13">
        <v>1008</v>
      </c>
      <c r="B9" s="13" t="s">
        <v>43</v>
      </c>
      <c r="C9" s="13" t="s">
        <v>37</v>
      </c>
      <c r="D9" s="13" t="s">
        <v>32</v>
      </c>
      <c r="E9" s="13">
        <v>18</v>
      </c>
      <c r="F9" s="13">
        <v>10</v>
      </c>
      <c r="G9" s="13">
        <f t="shared" si="0"/>
        <v>180</v>
      </c>
      <c r="H9" s="14">
        <v>45306</v>
      </c>
    </row>
    <row r="10" spans="1:11" x14ac:dyDescent="0.3">
      <c r="A10" s="13">
        <v>1009</v>
      </c>
      <c r="B10" s="13" t="s">
        <v>44</v>
      </c>
      <c r="C10" s="13" t="s">
        <v>28</v>
      </c>
      <c r="D10" s="13" t="s">
        <v>35</v>
      </c>
      <c r="E10" s="13">
        <v>22</v>
      </c>
      <c r="F10" s="13">
        <v>25</v>
      </c>
      <c r="G10" s="13">
        <f t="shared" si="0"/>
        <v>550</v>
      </c>
      <c r="H10" s="14">
        <v>45308</v>
      </c>
    </row>
    <row r="11" spans="1:11" x14ac:dyDescent="0.3">
      <c r="A11" s="13">
        <v>1010</v>
      </c>
      <c r="B11" s="13" t="s">
        <v>45</v>
      </c>
      <c r="C11" s="13" t="s">
        <v>31</v>
      </c>
      <c r="D11" s="13" t="s">
        <v>29</v>
      </c>
      <c r="E11" s="13">
        <v>8</v>
      </c>
      <c r="F11" s="13">
        <v>50</v>
      </c>
      <c r="G11" s="13">
        <f t="shared" si="0"/>
        <v>400</v>
      </c>
      <c r="H11" s="14">
        <v>45309</v>
      </c>
    </row>
    <row r="12" spans="1:11" x14ac:dyDescent="0.3">
      <c r="A12" s="13">
        <v>1011</v>
      </c>
      <c r="B12" s="13" t="s">
        <v>46</v>
      </c>
      <c r="C12" s="13" t="s">
        <v>34</v>
      </c>
      <c r="D12" s="13" t="s">
        <v>39</v>
      </c>
      <c r="E12" s="13">
        <v>40</v>
      </c>
      <c r="F12" s="13">
        <v>5</v>
      </c>
      <c r="G12" s="13">
        <f t="shared" si="0"/>
        <v>200</v>
      </c>
      <c r="H12" s="14">
        <v>45310</v>
      </c>
    </row>
    <row r="13" spans="1:11" x14ac:dyDescent="0.3">
      <c r="A13" s="13">
        <v>1012</v>
      </c>
      <c r="B13" s="13" t="s">
        <v>47</v>
      </c>
      <c r="C13" s="13" t="s">
        <v>37</v>
      </c>
      <c r="D13" s="13" t="s">
        <v>42</v>
      </c>
      <c r="E13" s="13">
        <v>35</v>
      </c>
      <c r="F13" s="13">
        <v>8</v>
      </c>
      <c r="G13" s="13">
        <f t="shared" si="0"/>
        <v>280</v>
      </c>
      <c r="H13" s="14">
        <v>45311</v>
      </c>
    </row>
    <row r="14" spans="1:11" x14ac:dyDescent="0.3">
      <c r="A14" s="13">
        <v>1013</v>
      </c>
      <c r="B14" s="13" t="s">
        <v>48</v>
      </c>
      <c r="C14" s="13" t="s">
        <v>28</v>
      </c>
      <c r="D14" s="13" t="s">
        <v>29</v>
      </c>
      <c r="E14" s="13">
        <v>14</v>
      </c>
      <c r="F14" s="13">
        <v>50</v>
      </c>
      <c r="G14" s="13">
        <f t="shared" si="0"/>
        <v>700</v>
      </c>
      <c r="H14" s="14">
        <v>45313</v>
      </c>
    </row>
    <row r="15" spans="1:11" x14ac:dyDescent="0.3">
      <c r="A15" s="13">
        <v>1014</v>
      </c>
      <c r="B15" s="13" t="s">
        <v>49</v>
      </c>
      <c r="C15" s="13" t="s">
        <v>31</v>
      </c>
      <c r="D15" s="13" t="s">
        <v>32</v>
      </c>
      <c r="E15" s="13">
        <v>28</v>
      </c>
      <c r="F15" s="13">
        <v>10</v>
      </c>
      <c r="G15" s="13">
        <f t="shared" si="0"/>
        <v>280</v>
      </c>
      <c r="H15" s="14">
        <v>45314</v>
      </c>
    </row>
    <row r="16" spans="1:11" x14ac:dyDescent="0.3">
      <c r="A16" s="13">
        <v>1015</v>
      </c>
      <c r="B16" s="13" t="s">
        <v>50</v>
      </c>
      <c r="C16" s="13" t="s">
        <v>34</v>
      </c>
      <c r="D16" s="13" t="s">
        <v>35</v>
      </c>
      <c r="E16" s="13">
        <v>12</v>
      </c>
      <c r="F16" s="13">
        <v>25</v>
      </c>
      <c r="G16" s="13">
        <f t="shared" si="0"/>
        <v>300</v>
      </c>
      <c r="H16" s="14">
        <v>45315</v>
      </c>
    </row>
    <row r="17" spans="1:8" x14ac:dyDescent="0.3">
      <c r="A17" s="13">
        <v>1016</v>
      </c>
      <c r="B17" s="13" t="s">
        <v>51</v>
      </c>
      <c r="C17" s="13" t="s">
        <v>37</v>
      </c>
      <c r="D17" s="13" t="s">
        <v>39</v>
      </c>
      <c r="E17" s="13">
        <v>25</v>
      </c>
      <c r="F17" s="13">
        <v>5</v>
      </c>
      <c r="G17" s="13">
        <f t="shared" si="0"/>
        <v>125</v>
      </c>
      <c r="H17" s="14">
        <v>45317</v>
      </c>
    </row>
    <row r="18" spans="1:8" x14ac:dyDescent="0.3">
      <c r="A18" s="13">
        <v>1017</v>
      </c>
      <c r="B18" s="13" t="s">
        <v>52</v>
      </c>
      <c r="C18" s="13" t="s">
        <v>28</v>
      </c>
      <c r="D18" s="13" t="s">
        <v>42</v>
      </c>
      <c r="E18" s="13">
        <v>20</v>
      </c>
      <c r="F18" s="13">
        <v>8</v>
      </c>
      <c r="G18" s="13">
        <f t="shared" si="0"/>
        <v>160</v>
      </c>
      <c r="H18" s="14">
        <v>45319</v>
      </c>
    </row>
    <row r="19" spans="1:8" x14ac:dyDescent="0.3">
      <c r="A19" s="13">
        <v>1018</v>
      </c>
      <c r="B19" s="13" t="s">
        <v>53</v>
      </c>
      <c r="C19" s="13" t="s">
        <v>31</v>
      </c>
      <c r="D19" s="13" t="s">
        <v>29</v>
      </c>
      <c r="E19" s="13">
        <v>10</v>
      </c>
      <c r="F19" s="13">
        <v>50</v>
      </c>
      <c r="G19" s="13">
        <f t="shared" si="0"/>
        <v>500</v>
      </c>
      <c r="H19" s="14">
        <v>45320</v>
      </c>
    </row>
    <row r="20" spans="1:8" x14ac:dyDescent="0.3">
      <c r="A20" s="13">
        <v>1019</v>
      </c>
      <c r="B20" s="13" t="s">
        <v>54</v>
      </c>
      <c r="C20" s="13" t="s">
        <v>34</v>
      </c>
      <c r="D20" s="13" t="s">
        <v>32</v>
      </c>
      <c r="E20" s="13">
        <v>15</v>
      </c>
      <c r="F20" s="13">
        <v>10</v>
      </c>
      <c r="G20" s="13">
        <f t="shared" si="0"/>
        <v>150</v>
      </c>
      <c r="H20" s="14">
        <v>45321</v>
      </c>
    </row>
    <row r="21" spans="1:8" x14ac:dyDescent="0.3">
      <c r="A21" s="13">
        <v>1020</v>
      </c>
      <c r="B21" s="13" t="s">
        <v>55</v>
      </c>
      <c r="C21" s="13" t="s">
        <v>37</v>
      </c>
      <c r="D21" s="13" t="s">
        <v>35</v>
      </c>
      <c r="E21" s="13">
        <v>18</v>
      </c>
      <c r="F21" s="13">
        <v>25</v>
      </c>
      <c r="G21" s="13">
        <f t="shared" si="0"/>
        <v>450</v>
      </c>
      <c r="H21" s="14">
        <v>45323</v>
      </c>
    </row>
    <row r="22" spans="1:8" x14ac:dyDescent="0.3">
      <c r="A22" s="13">
        <v>1021</v>
      </c>
      <c r="B22" s="13" t="s">
        <v>56</v>
      </c>
      <c r="C22" s="13" t="s">
        <v>28</v>
      </c>
      <c r="D22" s="13" t="s">
        <v>29</v>
      </c>
      <c r="E22" s="13">
        <v>9</v>
      </c>
      <c r="F22" s="13">
        <v>50</v>
      </c>
      <c r="G22" s="13">
        <f t="shared" si="0"/>
        <v>450</v>
      </c>
      <c r="H22" s="14">
        <v>45324</v>
      </c>
    </row>
    <row r="23" spans="1:8" x14ac:dyDescent="0.3">
      <c r="A23" s="13">
        <v>1022</v>
      </c>
      <c r="B23" s="13" t="s">
        <v>57</v>
      </c>
      <c r="C23" s="13" t="s">
        <v>31</v>
      </c>
      <c r="D23" s="13" t="s">
        <v>39</v>
      </c>
      <c r="E23" s="13">
        <v>35</v>
      </c>
      <c r="F23" s="13">
        <v>5</v>
      </c>
      <c r="G23" s="13">
        <f t="shared" si="0"/>
        <v>175</v>
      </c>
      <c r="H23" s="14">
        <v>45325</v>
      </c>
    </row>
    <row r="24" spans="1:8" x14ac:dyDescent="0.3">
      <c r="A24" s="13">
        <v>1023</v>
      </c>
      <c r="B24" s="13" t="s">
        <v>58</v>
      </c>
      <c r="C24" s="13" t="s">
        <v>34</v>
      </c>
      <c r="D24" s="13" t="s">
        <v>42</v>
      </c>
      <c r="E24" s="13">
        <v>30</v>
      </c>
      <c r="F24" s="13">
        <v>8</v>
      </c>
      <c r="G24" s="13">
        <f t="shared" si="0"/>
        <v>240</v>
      </c>
      <c r="H24" s="14">
        <v>45326</v>
      </c>
    </row>
    <row r="25" spans="1:8" x14ac:dyDescent="0.3">
      <c r="A25" s="13">
        <v>1024</v>
      </c>
      <c r="B25" s="13" t="s">
        <v>59</v>
      </c>
      <c r="C25" s="13" t="s">
        <v>37</v>
      </c>
      <c r="D25" s="13" t="s">
        <v>29</v>
      </c>
      <c r="E25" s="13">
        <v>11</v>
      </c>
      <c r="F25" s="13">
        <v>50</v>
      </c>
      <c r="G25" s="13">
        <f t="shared" si="0"/>
        <v>550</v>
      </c>
      <c r="H25" s="14">
        <v>45328</v>
      </c>
    </row>
    <row r="26" spans="1:8" x14ac:dyDescent="0.3">
      <c r="A26" s="13">
        <v>1025</v>
      </c>
      <c r="B26" s="13" t="s">
        <v>60</v>
      </c>
      <c r="C26" s="13" t="s">
        <v>28</v>
      </c>
      <c r="D26" s="13" t="s">
        <v>32</v>
      </c>
      <c r="E26" s="13">
        <v>14</v>
      </c>
      <c r="F26" s="13">
        <v>10</v>
      </c>
      <c r="G26" s="13">
        <f t="shared" si="0"/>
        <v>140</v>
      </c>
      <c r="H26" s="14">
        <v>45329</v>
      </c>
    </row>
    <row r="27" spans="1:8" x14ac:dyDescent="0.3">
      <c r="A27" s="13">
        <v>1026</v>
      </c>
      <c r="B27" s="13" t="s">
        <v>61</v>
      </c>
      <c r="C27" s="13" t="s">
        <v>31</v>
      </c>
      <c r="D27" s="13" t="s">
        <v>35</v>
      </c>
      <c r="E27" s="13">
        <v>16</v>
      </c>
      <c r="F27" s="13">
        <v>25</v>
      </c>
      <c r="G27" s="13">
        <f t="shared" si="0"/>
        <v>400</v>
      </c>
      <c r="H27" s="14">
        <v>45330</v>
      </c>
    </row>
    <row r="28" spans="1:8" x14ac:dyDescent="0.3">
      <c r="A28" s="13">
        <v>1027</v>
      </c>
      <c r="B28" s="13" t="s">
        <v>62</v>
      </c>
      <c r="C28" s="13" t="s">
        <v>34</v>
      </c>
      <c r="D28" s="13" t="s">
        <v>39</v>
      </c>
      <c r="E28" s="13">
        <v>22</v>
      </c>
      <c r="F28" s="13">
        <v>5</v>
      </c>
      <c r="G28" s="13">
        <f t="shared" si="0"/>
        <v>110</v>
      </c>
      <c r="H28" s="14">
        <v>45331</v>
      </c>
    </row>
    <row r="29" spans="1:8" x14ac:dyDescent="0.3">
      <c r="A29" s="13">
        <v>1028</v>
      </c>
      <c r="B29" s="13" t="s">
        <v>63</v>
      </c>
      <c r="C29" s="13" t="s">
        <v>37</v>
      </c>
      <c r="D29" s="13" t="s">
        <v>42</v>
      </c>
      <c r="E29" s="13">
        <v>27</v>
      </c>
      <c r="F29" s="13">
        <v>8</v>
      </c>
      <c r="G29" s="13">
        <f t="shared" si="0"/>
        <v>216</v>
      </c>
      <c r="H29" s="14">
        <v>45332</v>
      </c>
    </row>
    <row r="30" spans="1:8" x14ac:dyDescent="0.3">
      <c r="A30" s="13">
        <v>1029</v>
      </c>
      <c r="B30" s="13" t="s">
        <v>64</v>
      </c>
      <c r="C30" s="13" t="s">
        <v>28</v>
      </c>
      <c r="D30" s="13" t="s">
        <v>29</v>
      </c>
      <c r="E30" s="13">
        <v>13</v>
      </c>
      <c r="F30" s="13">
        <v>50</v>
      </c>
      <c r="G30" s="13">
        <f t="shared" si="0"/>
        <v>650</v>
      </c>
      <c r="H30" s="14">
        <v>45334</v>
      </c>
    </row>
    <row r="31" spans="1:8" x14ac:dyDescent="0.3">
      <c r="A31" s="13">
        <v>1030</v>
      </c>
      <c r="B31" s="13" t="s">
        <v>65</v>
      </c>
      <c r="C31" s="13" t="s">
        <v>31</v>
      </c>
      <c r="D31" s="13" t="s">
        <v>32</v>
      </c>
      <c r="E31" s="13">
        <v>32</v>
      </c>
      <c r="F31" s="13">
        <v>10</v>
      </c>
      <c r="G31" s="13">
        <f t="shared" si="0"/>
        <v>320</v>
      </c>
      <c r="H31" s="14">
        <v>45335</v>
      </c>
    </row>
    <row r="32" spans="1:8" x14ac:dyDescent="0.3">
      <c r="A32" s="13">
        <v>1031</v>
      </c>
      <c r="B32" s="13" t="s">
        <v>66</v>
      </c>
      <c r="C32" s="13" t="s">
        <v>34</v>
      </c>
      <c r="D32" s="13" t="s">
        <v>35</v>
      </c>
      <c r="E32" s="13">
        <v>10</v>
      </c>
      <c r="F32" s="13">
        <v>25</v>
      </c>
      <c r="G32" s="13">
        <f t="shared" si="0"/>
        <v>250</v>
      </c>
      <c r="H32" s="14">
        <v>45336</v>
      </c>
    </row>
    <row r="33" spans="1:8" x14ac:dyDescent="0.3">
      <c r="A33" s="13">
        <v>1032</v>
      </c>
      <c r="B33" s="13" t="s">
        <v>67</v>
      </c>
      <c r="C33" s="13" t="s">
        <v>37</v>
      </c>
      <c r="D33" s="13" t="s">
        <v>39</v>
      </c>
      <c r="E33" s="13">
        <v>18</v>
      </c>
      <c r="F33" s="13">
        <v>5</v>
      </c>
      <c r="G33" s="13">
        <f t="shared" si="0"/>
        <v>90</v>
      </c>
      <c r="H33" s="14">
        <v>45338</v>
      </c>
    </row>
    <row r="34" spans="1:8" x14ac:dyDescent="0.3">
      <c r="A34" s="13">
        <v>1033</v>
      </c>
      <c r="B34" s="13" t="s">
        <v>68</v>
      </c>
      <c r="C34" s="13" t="s">
        <v>28</v>
      </c>
      <c r="D34" s="13" t="s">
        <v>42</v>
      </c>
      <c r="E34" s="13">
        <v>22</v>
      </c>
      <c r="F34" s="13">
        <v>8</v>
      </c>
      <c r="G34" s="13">
        <f t="shared" si="0"/>
        <v>176</v>
      </c>
      <c r="H34" s="14">
        <v>45339</v>
      </c>
    </row>
    <row r="35" spans="1:8" x14ac:dyDescent="0.3">
      <c r="A35" s="13">
        <v>1034</v>
      </c>
      <c r="B35" s="13" t="s">
        <v>69</v>
      </c>
      <c r="C35" s="13" t="s">
        <v>31</v>
      </c>
      <c r="D35" s="13" t="s">
        <v>29</v>
      </c>
      <c r="E35" s="13">
        <v>17</v>
      </c>
      <c r="F35" s="13">
        <v>50</v>
      </c>
      <c r="G35" s="13">
        <f t="shared" si="0"/>
        <v>850</v>
      </c>
      <c r="H35" s="14">
        <v>45340</v>
      </c>
    </row>
    <row r="36" spans="1:8" x14ac:dyDescent="0.3">
      <c r="A36" s="13">
        <v>1035</v>
      </c>
      <c r="B36" s="13" t="s">
        <v>70</v>
      </c>
      <c r="C36" s="13" t="s">
        <v>34</v>
      </c>
      <c r="D36" s="13" t="s">
        <v>32</v>
      </c>
      <c r="E36" s="13">
        <v>19</v>
      </c>
      <c r="F36" s="13">
        <v>10</v>
      </c>
      <c r="G36" s="13">
        <f t="shared" si="0"/>
        <v>190</v>
      </c>
      <c r="H36" s="14">
        <v>45341</v>
      </c>
    </row>
    <row r="37" spans="1:8" x14ac:dyDescent="0.3">
      <c r="A37" s="13">
        <v>1036</v>
      </c>
      <c r="B37" s="13" t="s">
        <v>71</v>
      </c>
      <c r="C37" s="13" t="s">
        <v>37</v>
      </c>
      <c r="D37" s="13" t="s">
        <v>35</v>
      </c>
      <c r="E37" s="13">
        <v>15</v>
      </c>
      <c r="F37" s="13">
        <v>25</v>
      </c>
      <c r="G37" s="13">
        <f t="shared" si="0"/>
        <v>375</v>
      </c>
      <c r="H37" s="14">
        <v>45343</v>
      </c>
    </row>
    <row r="38" spans="1:8" x14ac:dyDescent="0.3">
      <c r="A38" s="13">
        <v>1037</v>
      </c>
      <c r="B38" s="13" t="s">
        <v>72</v>
      </c>
      <c r="C38" s="13" t="s">
        <v>28</v>
      </c>
      <c r="D38" s="13" t="s">
        <v>39</v>
      </c>
      <c r="E38" s="13">
        <v>28</v>
      </c>
      <c r="F38" s="13">
        <v>5</v>
      </c>
      <c r="G38" s="13">
        <f t="shared" si="0"/>
        <v>140</v>
      </c>
      <c r="H38" s="14">
        <v>45344</v>
      </c>
    </row>
    <row r="39" spans="1:8" x14ac:dyDescent="0.3">
      <c r="A39" s="13">
        <v>1038</v>
      </c>
      <c r="B39" s="13" t="s">
        <v>73</v>
      </c>
      <c r="C39" s="13" t="s">
        <v>31</v>
      </c>
      <c r="D39" s="13" t="s">
        <v>42</v>
      </c>
      <c r="E39" s="13">
        <v>24</v>
      </c>
      <c r="F39" s="13">
        <v>8</v>
      </c>
      <c r="G39" s="13">
        <f t="shared" si="0"/>
        <v>192</v>
      </c>
      <c r="H39" s="14">
        <v>45345</v>
      </c>
    </row>
    <row r="40" spans="1:8" x14ac:dyDescent="0.3">
      <c r="A40" s="13">
        <v>1039</v>
      </c>
      <c r="B40" s="13" t="s">
        <v>74</v>
      </c>
      <c r="C40" s="13" t="s">
        <v>34</v>
      </c>
      <c r="D40" s="13" t="s">
        <v>29</v>
      </c>
      <c r="E40" s="13">
        <v>16</v>
      </c>
      <c r="F40" s="13">
        <v>50</v>
      </c>
      <c r="G40" s="13">
        <f t="shared" si="0"/>
        <v>800</v>
      </c>
      <c r="H40" s="14">
        <v>45347</v>
      </c>
    </row>
    <row r="41" spans="1:8" x14ac:dyDescent="0.3">
      <c r="A41" s="13">
        <v>1040</v>
      </c>
      <c r="B41" s="13" t="s">
        <v>75</v>
      </c>
      <c r="C41" s="13" t="s">
        <v>37</v>
      </c>
      <c r="D41" s="13" t="s">
        <v>32</v>
      </c>
      <c r="E41" s="13">
        <v>27</v>
      </c>
      <c r="F41" s="13">
        <v>10</v>
      </c>
      <c r="G41" s="13">
        <f t="shared" si="0"/>
        <v>270</v>
      </c>
      <c r="H41" s="14">
        <v>45348</v>
      </c>
    </row>
    <row r="42" spans="1:8" x14ac:dyDescent="0.3">
      <c r="A42" s="13">
        <v>1041</v>
      </c>
      <c r="B42" s="13" t="s">
        <v>76</v>
      </c>
      <c r="C42" s="13" t="s">
        <v>28</v>
      </c>
      <c r="D42" s="13" t="s">
        <v>35</v>
      </c>
      <c r="E42" s="13">
        <v>21</v>
      </c>
      <c r="F42" s="13">
        <v>25</v>
      </c>
      <c r="G42" s="13">
        <f t="shared" si="0"/>
        <v>525</v>
      </c>
      <c r="H42" s="14">
        <v>45349</v>
      </c>
    </row>
    <row r="43" spans="1:8" x14ac:dyDescent="0.3">
      <c r="A43" s="13">
        <v>1042</v>
      </c>
      <c r="B43" s="13" t="s">
        <v>77</v>
      </c>
      <c r="C43" s="13" t="s">
        <v>31</v>
      </c>
      <c r="D43" s="13" t="s">
        <v>39</v>
      </c>
      <c r="E43" s="13">
        <v>30</v>
      </c>
      <c r="F43" s="13">
        <v>5</v>
      </c>
      <c r="G43" s="13">
        <f t="shared" si="0"/>
        <v>150</v>
      </c>
      <c r="H43" s="14">
        <v>45350</v>
      </c>
    </row>
    <row r="44" spans="1:8" x14ac:dyDescent="0.3">
      <c r="A44" s="13">
        <v>1043</v>
      </c>
      <c r="B44" s="13" t="s">
        <v>78</v>
      </c>
      <c r="C44" s="13" t="s">
        <v>34</v>
      </c>
      <c r="D44" s="13" t="s">
        <v>42</v>
      </c>
      <c r="E44" s="13">
        <v>26</v>
      </c>
      <c r="F44" s="13">
        <v>8</v>
      </c>
      <c r="G44" s="13">
        <f t="shared" si="0"/>
        <v>208</v>
      </c>
      <c r="H44" s="14">
        <v>45352</v>
      </c>
    </row>
    <row r="45" spans="1:8" x14ac:dyDescent="0.3">
      <c r="A45" s="13">
        <v>1044</v>
      </c>
      <c r="B45" s="13" t="s">
        <v>79</v>
      </c>
      <c r="C45" s="13" t="s">
        <v>37</v>
      </c>
      <c r="D45" s="13" t="s">
        <v>29</v>
      </c>
      <c r="E45" s="13">
        <v>14</v>
      </c>
      <c r="F45" s="13">
        <v>50</v>
      </c>
      <c r="G45" s="13">
        <f t="shared" si="0"/>
        <v>700</v>
      </c>
      <c r="H45" s="14">
        <v>45353</v>
      </c>
    </row>
    <row r="46" spans="1:8" x14ac:dyDescent="0.3">
      <c r="A46" s="13">
        <v>1045</v>
      </c>
      <c r="B46" s="13" t="s">
        <v>80</v>
      </c>
      <c r="C46" s="13" t="s">
        <v>28</v>
      </c>
      <c r="D46" s="13" t="s">
        <v>32</v>
      </c>
      <c r="E46" s="13">
        <v>20</v>
      </c>
      <c r="F46" s="13">
        <v>10</v>
      </c>
      <c r="G46" s="13">
        <f t="shared" si="0"/>
        <v>200</v>
      </c>
      <c r="H46" s="14">
        <v>45354</v>
      </c>
    </row>
    <row r="47" spans="1:8" x14ac:dyDescent="0.3">
      <c r="A47" s="13">
        <v>1046</v>
      </c>
      <c r="B47" s="13" t="s">
        <v>81</v>
      </c>
      <c r="C47" s="13" t="s">
        <v>31</v>
      </c>
      <c r="D47" s="13" t="s">
        <v>35</v>
      </c>
      <c r="E47" s="13">
        <v>17</v>
      </c>
      <c r="F47" s="13">
        <v>25</v>
      </c>
      <c r="G47" s="13">
        <f t="shared" si="0"/>
        <v>425</v>
      </c>
      <c r="H47" s="14">
        <v>45355</v>
      </c>
    </row>
    <row r="48" spans="1:8" x14ac:dyDescent="0.3">
      <c r="A48" s="13">
        <v>1047</v>
      </c>
      <c r="B48" s="13" t="s">
        <v>82</v>
      </c>
      <c r="C48" s="13" t="s">
        <v>34</v>
      </c>
      <c r="D48" s="13" t="s">
        <v>39</v>
      </c>
      <c r="E48" s="13">
        <v>19</v>
      </c>
      <c r="F48" s="13">
        <v>5</v>
      </c>
      <c r="G48" s="13">
        <f t="shared" si="0"/>
        <v>95</v>
      </c>
      <c r="H48" s="14">
        <v>45356</v>
      </c>
    </row>
    <row r="49" spans="1:8" x14ac:dyDescent="0.3">
      <c r="A49" s="13">
        <v>1048</v>
      </c>
      <c r="B49" s="13" t="s">
        <v>83</v>
      </c>
      <c r="C49" s="13" t="s">
        <v>37</v>
      </c>
      <c r="D49" s="13" t="s">
        <v>42</v>
      </c>
      <c r="E49" s="13">
        <v>32</v>
      </c>
      <c r="F49" s="13">
        <v>8</v>
      </c>
      <c r="G49" s="13">
        <f t="shared" si="0"/>
        <v>256</v>
      </c>
      <c r="H49" s="14">
        <v>45357</v>
      </c>
    </row>
    <row r="50" spans="1:8" x14ac:dyDescent="0.3">
      <c r="A50" s="13">
        <v>1049</v>
      </c>
      <c r="B50" s="13" t="s">
        <v>84</v>
      </c>
      <c r="C50" s="13" t="s">
        <v>28</v>
      </c>
      <c r="D50" s="13" t="s">
        <v>29</v>
      </c>
      <c r="E50" s="13">
        <v>12</v>
      </c>
      <c r="F50" s="13">
        <v>50</v>
      </c>
      <c r="G50" s="13">
        <f t="shared" si="0"/>
        <v>600</v>
      </c>
      <c r="H50" s="14">
        <v>45358</v>
      </c>
    </row>
    <row r="51" spans="1:8" x14ac:dyDescent="0.3">
      <c r="A51" s="13">
        <v>1050</v>
      </c>
      <c r="B51" s="13" t="s">
        <v>85</v>
      </c>
      <c r="C51" s="13" t="s">
        <v>31</v>
      </c>
      <c r="D51" s="13" t="s">
        <v>32</v>
      </c>
      <c r="E51" s="13">
        <v>25</v>
      </c>
      <c r="F51" s="13">
        <v>10</v>
      </c>
      <c r="G51" s="13">
        <f t="shared" si="0"/>
        <v>250</v>
      </c>
      <c r="H51" s="14">
        <v>45359</v>
      </c>
    </row>
    <row r="52" spans="1:8" x14ac:dyDescent="0.3">
      <c r="B52" s="20">
        <f>COUNTA(B2:B51)</f>
        <v>50</v>
      </c>
    </row>
  </sheetData>
  <autoFilter ref="A1:H52" xr:uid="{8B2957A0-062D-4075-A25E-46E394FB08CD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Ponnoju</dc:creator>
  <cp:lastModifiedBy>Rakesh Ponnoju</cp:lastModifiedBy>
  <dcterms:created xsi:type="dcterms:W3CDTF">2026-05-25T18:28:32Z</dcterms:created>
  <dcterms:modified xsi:type="dcterms:W3CDTF">2026-05-25T19:52:56Z</dcterms:modified>
</cp:coreProperties>
</file>